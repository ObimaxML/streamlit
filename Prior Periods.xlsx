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ossgate-my.sharepoint.com/personal/mpho_crossgate_co_za/Documents/bonsella/data/brands/pepsico/"/>
    </mc:Choice>
  </mc:AlternateContent>
  <xr:revisionPtr revIDLastSave="1" documentId="8_{14C27DA9-D2ED-4F67-B76E-914A598FF8A5}" xr6:coauthVersionLast="47" xr6:coauthVersionMax="47" xr10:uidLastSave="{77638916-D3A6-4E5F-B5DD-1FA40FA8303F}"/>
  <bookViews>
    <workbookView xWindow="-120" yWindow="-120" windowWidth="29040" windowHeight="15720" xr2:uid="{69B5F4F5-01B0-47AB-B50C-BC2D10BB4BFB}"/>
  </bookViews>
  <sheets>
    <sheet name="Prior Perio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14" i="1"/>
  <c r="B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<sst xmlns="http://schemas.openxmlformats.org/spreadsheetml/2006/main" count="17" uniqueCount="17">
  <si>
    <t>Product Unit Sales and Prior Period Totals</t>
  </si>
  <si>
    <t>Product Description</t>
  </si>
  <si>
    <t>QTY Sold Prior Year
14 May to 14 Aug 2024</t>
  </si>
  <si>
    <t>QTY Sold  14 Feb to 13 May 2025</t>
  </si>
  <si>
    <t>QTY Sold (CAMPAIGN PERIOD)
14 May to 14 Aug 2025</t>
  </si>
  <si>
    <t>Increase in sales from Avg of prior months</t>
  </si>
  <si>
    <t>BOKOMO CORN FLAKES CEREALS ORIGINAL 1KG</t>
  </si>
  <si>
    <t>BOKOMO TRADITIONAL OATS 1KG</t>
  </si>
  <si>
    <t>LIQUI FRUIT 2L</t>
  </si>
  <si>
    <t>SIMBA CHIPS 120G</t>
  </si>
  <si>
    <t>WEET BIX CEREALS BOX 450G</t>
  </si>
  <si>
    <t>WEET BIX CEREALS BOX 900G</t>
  </si>
  <si>
    <t>WELLINGTONS SWEET CHILLI SAUCE 700ML</t>
  </si>
  <si>
    <t>WELLINGTONS TOMATO SAUCE 700ml</t>
  </si>
  <si>
    <t>WHITE STAR INSTANT MAIZE PORRIDGE 1KG</t>
  </si>
  <si>
    <t>WHITE STAR SUPER MAIZE MEAL MAIZE BAG 2.5KG</t>
  </si>
  <si>
    <t>WHITE STAR M/MEAL 10KG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</si>
</sst>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9"/>
      <color theme="1"/>
      <name val="Tahoma"/>
      <family val="2"/>
    </font>
    <font>
      <sz val="9"/>
      <color rgb="FF363636"/>
      <name val="Tahoma"/>
      <family val="2"/>
    </font>
    <font>
      <sz val="9"/>
      <color rgb="FF00B050"/>
      <name val="Tahoma"/>
      <family val="2"/>
    </font>
    <font>
      <sz val="9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9" fontId="5" fillId="0" borderId="1" xfId="1" applyFont="1" applyBorder="1" applyAlignment="1">
      <alignment horizontal="center"/>
    </xf>
    <xf numFmtId="9" fontId="6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302898</xdr:colOff>
      <xdr:row>17</xdr:row>
      <xdr:rowOff>177165</xdr:rowOff>
    </xdr:from>
    <xdr:to>
      <xdr:col>3</xdr:col>
      <xdr:colOff>502920</xdr:colOff>
      <xdr:row>36</xdr:row>
      <xdr:rowOff>13334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84F6BD-B675-46A6-98FF-0E520674A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8" y="4158615"/>
          <a:ext cx="5400672" cy="3455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17</xdr:row>
      <xdr:rowOff>30478</xdr:rowOff>
    </xdr:from>
    <xdr:to>
      <xdr:col>7</xdr:col>
      <xdr:colOff>697230</xdr:colOff>
      <xdr:row>35</xdr:row>
      <xdr:rowOff>20955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D5F6BA-A78F-404A-BF3B-0902074DB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5625" y="4011928"/>
          <a:ext cx="5716905" cy="3419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CE80-1040-415A-9D25-86BC86EF4A5D}">
  <dimension ref="A1:E14"/>
  <sheetViews>
    <sheetView tabSelected="1" workbookViewId="0">
      <selection activeCell="F11" sqref="F11"/>
    </sheetView>
  </sheetViews>
  <sheetFormatPr defaultColWidth="29.85546875" defaultRowHeight="15" x14ac:dyDescent="0.25"/>
  <cols>
    <col min="1" max="1" width="43.42578125" bestFit="1" customWidth="1"/>
    <col min="2" max="2" width="20.5703125" customWidth="1"/>
    <col min="3" max="3" width="14" customWidth="1"/>
    <col min="4" max="4" width="23.28515625" customWidth="1"/>
    <col min="5" max="5" width="17.85546875" customWidth="1"/>
  </cols>
  <sheetData>
    <row r="1" spans="1:5" ht="15.75" x14ac:dyDescent="0.25">
      <c r="A1" s="1" t="s">
        <v>0</v>
      </c>
      <c r="B1" s="1"/>
      <c r="C1" s="1"/>
      <c r="D1" s="1"/>
      <c r="E1" s="1"/>
    </row>
    <row r="2" spans="1:5" ht="72.75" customHeight="1" x14ac:dyDescent="0.25">
      <c r="A2" s="2" t="s">
        <v>1</v>
      </c>
      <c r="B2" s="3" t="s">
        <v>2</v>
      </c>
      <c r="C2" s="4" t="s">
        <v>3</v>
      </c>
      <c r="D2" s="3" t="s">
        <v>4</v>
      </c>
      <c r="E2" s="5" t="s">
        <v>5</v>
      </c>
    </row>
    <row r="3" spans="1:5" x14ac:dyDescent="0.25">
      <c r="A3" s="6" t="s">
        <v>6</v>
      </c>
      <c r="B3" s="7">
        <v>82023</v>
      </c>
      <c r="C3" s="7">
        <v>92576</v>
      </c>
      <c r="D3" s="7">
        <v>94390</v>
      </c>
      <c r="E3" s="8">
        <f>+(D3-C3)/C3</f>
        <v>1.9594711372277911E-2</v>
      </c>
    </row>
    <row r="4" spans="1:5" x14ac:dyDescent="0.25">
      <c r="A4" s="6" t="s">
        <v>7</v>
      </c>
      <c r="B4" s="7">
        <v>2064</v>
      </c>
      <c r="C4" s="7">
        <v>2214</v>
      </c>
      <c r="D4" s="7">
        <v>4250</v>
      </c>
      <c r="E4" s="8">
        <f>+(D4-C4)/C4</f>
        <v>0.91960252935862696</v>
      </c>
    </row>
    <row r="5" spans="1:5" x14ac:dyDescent="0.25">
      <c r="A5" s="6" t="s">
        <v>8</v>
      </c>
      <c r="B5" s="7">
        <v>65592</v>
      </c>
      <c r="C5" s="7">
        <v>102999</v>
      </c>
      <c r="D5" s="7">
        <v>105896</v>
      </c>
      <c r="E5" s="8">
        <f>+(D5-C5)/C5</f>
        <v>2.8126486664919077E-2</v>
      </c>
    </row>
    <row r="6" spans="1:5" x14ac:dyDescent="0.25">
      <c r="A6" s="6" t="s">
        <v>9</v>
      </c>
      <c r="B6" s="7">
        <v>270904</v>
      </c>
      <c r="C6" s="7">
        <v>286449</v>
      </c>
      <c r="D6" s="7">
        <v>303579</v>
      </c>
      <c r="E6" s="8">
        <f>+(D6-C6)/C6</f>
        <v>5.9801221159787608E-2</v>
      </c>
    </row>
    <row r="7" spans="1:5" x14ac:dyDescent="0.25">
      <c r="A7" s="6" t="s">
        <v>10</v>
      </c>
      <c r="B7" s="7">
        <v>28441</v>
      </c>
      <c r="C7" s="7">
        <v>35090</v>
      </c>
      <c r="D7" s="7">
        <v>40741</v>
      </c>
      <c r="E7" s="8">
        <f>+(D7-C7)/C7</f>
        <v>0.16104303220290681</v>
      </c>
    </row>
    <row r="8" spans="1:5" x14ac:dyDescent="0.25">
      <c r="A8" s="6" t="s">
        <v>11</v>
      </c>
      <c r="B8" s="7">
        <v>33312</v>
      </c>
      <c r="C8" s="7">
        <v>43314</v>
      </c>
      <c r="D8" s="7">
        <v>41900</v>
      </c>
      <c r="E8" s="9">
        <f>+(D8-C8)/C8</f>
        <v>-3.2645334072124485E-2</v>
      </c>
    </row>
    <row r="9" spans="1:5" x14ac:dyDescent="0.25">
      <c r="A9" s="6" t="s">
        <v>12</v>
      </c>
      <c r="B9" s="7">
        <v>2567</v>
      </c>
      <c r="C9" s="7">
        <v>2613</v>
      </c>
      <c r="D9" s="7">
        <v>2862</v>
      </c>
      <c r="E9" s="8">
        <f>+(D9-C9)/C9</f>
        <v>9.5292766934557974E-2</v>
      </c>
    </row>
    <row r="10" spans="1:5" x14ac:dyDescent="0.25">
      <c r="A10" s="6" t="s">
        <v>13</v>
      </c>
      <c r="B10" s="7">
        <v>13717</v>
      </c>
      <c r="C10" s="7">
        <v>14970</v>
      </c>
      <c r="D10" s="7">
        <v>15850</v>
      </c>
      <c r="E10" s="8">
        <f>+(D10-C10)/C10</f>
        <v>5.8784235136940546E-2</v>
      </c>
    </row>
    <row r="11" spans="1:5" x14ac:dyDescent="0.25">
      <c r="A11" s="6" t="s">
        <v>14</v>
      </c>
      <c r="B11" s="7">
        <v>54001</v>
      </c>
      <c r="C11" s="7">
        <v>74916</v>
      </c>
      <c r="D11" s="7">
        <v>71990</v>
      </c>
      <c r="E11" s="9">
        <f>+(D11-C11)/C11</f>
        <v>-3.9057077259864383E-2</v>
      </c>
    </row>
    <row r="12" spans="1:5" x14ac:dyDescent="0.25">
      <c r="A12" s="6" t="s">
        <v>15</v>
      </c>
      <c r="B12" s="7">
        <v>3319</v>
      </c>
      <c r="C12" s="7">
        <v>2670</v>
      </c>
      <c r="D12" s="7">
        <v>2797</v>
      </c>
      <c r="E12" s="8">
        <f>+(D12-C12)/C12</f>
        <v>4.7565543071161051E-2</v>
      </c>
    </row>
    <row r="13" spans="1:5" x14ac:dyDescent="0.25">
      <c r="A13" s="6" t="s">
        <v>16</v>
      </c>
      <c r="B13" s="7">
        <v>20508</v>
      </c>
      <c r="C13" s="7">
        <v>20546</v>
      </c>
      <c r="D13" s="7">
        <v>18636</v>
      </c>
      <c r="E13" s="9">
        <f>+(D13-C13)/C13</f>
        <v>-9.2962133748661538E-2</v>
      </c>
    </row>
    <row r="14" spans="1:5" x14ac:dyDescent="0.25">
      <c r="B14">
        <f t="shared" ref="B14" si="0">SUM(B3:B13)</f>
        <v>576448</v>
      </c>
      <c r="C14">
        <f t="shared" ref="C14:D14" si="1">SUM(C3:C13)</f>
        <v>678357</v>
      </c>
      <c r="D14">
        <f t="shared" si="1"/>
        <v>702891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Periods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Mpho Moloi</dc:creator>
  <cp:lastModifiedBy>Mpho Moloi</cp:lastModifiedBy>
  <dcterms:created xsi:type="dcterms:W3CDTF">2025-10-13T11:50:26Z</dcterms:created>
  <dcterms:modified xsi:type="dcterms:W3CDTF">2025-10-13T11:53:59Z</dcterms:modified>
</cp:coreProperties>
</file>