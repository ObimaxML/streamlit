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hoMoloi\Downloads\"/>
    </mc:Choice>
  </mc:AlternateContent>
  <xr:revisionPtr revIDLastSave="0" documentId="8_{AB6893AB-EFDF-4C37-9D1F-F1BD6B8471A5}" xr6:coauthVersionLast="47" xr6:coauthVersionMax="47" xr10:uidLastSave="{00000000-0000-0000-0000-000000000000}"/>
  <bookViews>
    <workbookView xWindow="-120" yWindow="-120" windowWidth="29040" windowHeight="15720" xr2:uid="{C77BE890-E136-42E7-B3B0-60720DB302F2}"/>
  </bookViews>
  <sheets>
    <sheet name="YOY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 s="1"/>
  <c r="B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<sst xmlns="http://schemas.openxmlformats.org/spreadsheetml/2006/main" count="16" uniqueCount="16">
  <si>
    <t>YEAR ON YEAR ANALYSIS</t>
  </si>
  <si>
    <t>Product Description</t>
  </si>
  <si>
    <t>QTY Sold Prior Year
14 May 2024 to 14 Aug 2024</t>
  </si>
  <si>
    <t>QTY Sold CAMPAIGN PERIOD
14 May 2025 to 14 Aug 2025</t>
  </si>
  <si>
    <t>Increase in sales from Prior Year AVE</t>
  </si>
  <si>
    <t>BOKOMO CORN FLAKES CEREALS ORIGINAL 1KG</t>
  </si>
  <si>
    <t>BOKOMO TRADITIONAL OATS 1KG</t>
  </si>
  <si>
    <t>LIQUI FRUIT 2L</t>
  </si>
  <si>
    <t>SIMBA CHIPS 120G</t>
  </si>
  <si>
    <t>WEET BIX CEREALS BOX 450G</t>
  </si>
  <si>
    <t>WEET BIX CEREALS BOX 900G</t>
  </si>
  <si>
    <t>WELLINGTONS SWEET CHILLI SAUCE 700ML</t>
  </si>
  <si>
    <t>WELLINGTONS TOMATO SAUCE 700ml</t>
  </si>
  <si>
    <t>WHITE STAR INSTANT MAIZE PORRIDGE 1KG</t>
  </si>
  <si>
    <t>WHITE STAR SUPER MAIZE MEAL MAIZE BAG 2.5KG</t>
  </si>
  <si>
    <t>WHITE STAR M/MEAL 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</si>
</sst>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9"/>
      <color rgb="FF363636"/>
      <name val="Tahoma"/>
      <family val="2"/>
    </font>
    <font>
      <sz val="9"/>
      <color rgb="FF00B050"/>
      <name val="Tahoma"/>
      <family val="2"/>
    </font>
    <font>
      <sz val="9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6</xdr:row>
      <xdr:rowOff>47626</xdr:rowOff>
    </xdr:from>
    <xdr:to>
      <xdr:col>17</xdr:col>
      <xdr:colOff>409575</xdr:colOff>
      <xdr:row>22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F4073-248D-4E66-89FE-2D5D4DE1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1933576"/>
          <a:ext cx="7105650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533400</xdr:colOff>
      <xdr:row>18</xdr:row>
      <xdr:rowOff>177165</xdr:rowOff>
    </xdr:from>
    <xdr:to>
      <xdr:col>3</xdr:col>
      <xdr:colOff>1047750</xdr:colOff>
      <xdr:row>35</xdr:row>
      <xdr:rowOff>131445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9B3B6B-E47A-4BBA-BA98-5BD914AA0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349115"/>
          <a:ext cx="6400800" cy="319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D3DB-A8BE-4C1E-811C-EDF81F89EBAF}">
  <dimension ref="A1:D16"/>
  <sheetViews>
    <sheetView tabSelected="1" workbookViewId="0">
      <selection activeCell="H2" sqref="H2"/>
    </sheetView>
  </sheetViews>
  <sheetFormatPr defaultRowHeight="15" x14ac:dyDescent="0.25"/>
  <cols>
    <col min="1" max="1" width="47.140625" customWidth="1"/>
    <col min="2" max="3" width="20.5703125" customWidth="1"/>
    <col min="4" max="4" width="16.85546875" customWidth="1"/>
  </cols>
  <sheetData>
    <row r="1" spans="1:4" ht="15.75" x14ac:dyDescent="0.25">
      <c r="A1" s="1" t="s">
        <v>0</v>
      </c>
      <c r="B1" s="1"/>
      <c r="C1" s="1"/>
      <c r="D1" s="1"/>
    </row>
    <row r="2" spans="1:4" ht="72.75" customHeight="1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4" t="s">
        <v>5</v>
      </c>
      <c r="B3" s="5">
        <v>82023</v>
      </c>
      <c r="C3" s="5">
        <v>94390</v>
      </c>
      <c r="D3" s="6">
        <f>(C3-B3)/B3</f>
        <v>0.15077478268290601</v>
      </c>
    </row>
    <row r="4" spans="1:4" x14ac:dyDescent="0.25">
      <c r="A4" s="4" t="s">
        <v>6</v>
      </c>
      <c r="B4" s="5">
        <v>2064</v>
      </c>
      <c r="C4" s="5">
        <v>4250</v>
      </c>
      <c r="D4" s="6">
        <f t="shared" ref="D4:D14" si="0">(C4-B4)/B4</f>
        <v>1.0591085271317831</v>
      </c>
    </row>
    <row r="5" spans="1:4" x14ac:dyDescent="0.25">
      <c r="A5" s="4" t="s">
        <v>7</v>
      </c>
      <c r="B5" s="5">
        <v>65592</v>
      </c>
      <c r="C5" s="5">
        <v>105896</v>
      </c>
      <c r="D5" s="6">
        <f t="shared" si="0"/>
        <v>0.61446517868032691</v>
      </c>
    </row>
    <row r="6" spans="1:4" x14ac:dyDescent="0.25">
      <c r="A6" s="4" t="s">
        <v>8</v>
      </c>
      <c r="B6" s="5">
        <v>270904</v>
      </c>
      <c r="C6" s="5">
        <v>303579</v>
      </c>
      <c r="D6" s="6">
        <f t="shared" si="0"/>
        <v>0.12061468269202374</v>
      </c>
    </row>
    <row r="7" spans="1:4" x14ac:dyDescent="0.25">
      <c r="A7" s="4" t="s">
        <v>9</v>
      </c>
      <c r="B7" s="5">
        <v>28441</v>
      </c>
      <c r="C7" s="5">
        <v>40741</v>
      </c>
      <c r="D7" s="6">
        <f t="shared" si="0"/>
        <v>0.43247424492809677</v>
      </c>
    </row>
    <row r="8" spans="1:4" x14ac:dyDescent="0.25">
      <c r="A8" s="4" t="s">
        <v>10</v>
      </c>
      <c r="B8" s="5">
        <v>33312</v>
      </c>
      <c r="C8" s="5">
        <v>41900</v>
      </c>
      <c r="D8" s="6">
        <f t="shared" si="0"/>
        <v>0.25780499519692601</v>
      </c>
    </row>
    <row r="9" spans="1:4" x14ac:dyDescent="0.25">
      <c r="A9" s="4" t="s">
        <v>11</v>
      </c>
      <c r="B9" s="5">
        <v>2567</v>
      </c>
      <c r="C9" s="5">
        <v>2862</v>
      </c>
      <c r="D9" s="6">
        <f t="shared" si="0"/>
        <v>0.11492014024152708</v>
      </c>
    </row>
    <row r="10" spans="1:4" x14ac:dyDescent="0.25">
      <c r="A10" s="4" t="s">
        <v>12</v>
      </c>
      <c r="B10" s="5">
        <v>13717</v>
      </c>
      <c r="C10" s="5">
        <v>15850</v>
      </c>
      <c r="D10" s="6">
        <f t="shared" si="0"/>
        <v>0.15550047386454763</v>
      </c>
    </row>
    <row r="11" spans="1:4" x14ac:dyDescent="0.25">
      <c r="A11" s="4" t="s">
        <v>13</v>
      </c>
      <c r="B11" s="5">
        <v>54001</v>
      </c>
      <c r="C11" s="5">
        <v>71900</v>
      </c>
      <c r="D11" s="6">
        <f t="shared" si="0"/>
        <v>0.33145682487361344</v>
      </c>
    </row>
    <row r="12" spans="1:4" x14ac:dyDescent="0.25">
      <c r="A12" s="4" t="s">
        <v>14</v>
      </c>
      <c r="B12" s="5">
        <v>3319</v>
      </c>
      <c r="C12" s="5">
        <v>2797</v>
      </c>
      <c r="D12" s="7">
        <f t="shared" si="0"/>
        <v>-0.15727628803856583</v>
      </c>
    </row>
    <row r="13" spans="1:4" x14ac:dyDescent="0.25">
      <c r="A13" s="4" t="s">
        <v>15</v>
      </c>
      <c r="B13" s="5">
        <v>20508</v>
      </c>
      <c r="C13" s="5">
        <v>18636</v>
      </c>
      <c r="D13" s="7">
        <f t="shared" si="0"/>
        <v>-9.1281451141018141E-2</v>
      </c>
    </row>
    <row r="14" spans="1:4" x14ac:dyDescent="0.25">
      <c r="B14" s="5">
        <f>SUM(B3:B13)</f>
        <v>576448</v>
      </c>
      <c r="C14" s="5">
        <f>SUM(C3:C13)</f>
        <v>702801</v>
      </c>
      <c r="D14" s="6">
        <f t="shared" si="0"/>
        <v>0.21919236427223271</v>
      </c>
    </row>
    <row r="15" spans="1:4" x14ac:dyDescent="0.25">
      <c r="D15" s="6"/>
    </row>
    <row r="16" spans="1:4" x14ac:dyDescent="0.25">
      <c r="D16" s="6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Moloi</dc:creator>
  <cp:lastModifiedBy>Mpho Moloi</cp:lastModifiedBy>
  <dcterms:created xsi:type="dcterms:W3CDTF">2025-10-13T10:52:25Z</dcterms:created>
  <dcterms:modified xsi:type="dcterms:W3CDTF">2025-10-13T10:52:55Z</dcterms:modified>
</cp:coreProperties>
</file>